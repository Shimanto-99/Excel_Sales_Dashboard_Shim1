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All For Personal Space\Excel_0\"/>
    </mc:Choice>
  </mc:AlternateContent>
  <xr:revisionPtr revIDLastSave="0" documentId="13_ncr:1_{1D896BB4-C0EE-48DE-AE17-E6DF5D32E447}"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Sheet'!$M$1:$M$1027</definedName>
    <definedName name="Slicer_Education">#N/A</definedName>
    <definedName name="Slicer_Marital_Status">#N/A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<sst xmlns="http://schemas.openxmlformats.org/spreadsheetml/2006/main" count="16267" uniqueCount="51">
  <si>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</si>
  <si>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</si>
  <si>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</si>
  <si>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</si>
  <si>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</si>
  <si>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</si>
  <si>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</si>
  <si>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</si>
  <si>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</si>
  <si>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</si>
  <si>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</si>
  <si>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</si>
  <si>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</si>
  <si>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</si>
  <si>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</si>
  <si>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</si>
  <si>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</si>
  <si>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</si>
  <si>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</si>
  <si>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</si>
  <si>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</si>
  <si>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</si>
  <si>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</si>
  <si>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</si>
  <si>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</si>
  <si>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</si>
  <si>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</si>
  <si>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</si>
  <si>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</si>
  <si>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</si>
  <si>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</si>
  <si>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</si>
  <si>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</si>
  <si>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</si>
  <si>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</si>
  <si>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</si>
  <si>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</si>
  <si>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</si>
  <si>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Female</t>
  </si>
  <si>
    <t>Male</t>
  </si>
  <si>
    <t>Age Bracket</t>
  </si>
  <si>
    <t>Row Labels</t>
  </si>
  <si>
    <t>Grand Total</t>
  </si>
  <si>
    <t>Count of Purchased Bike</t>
  </si>
  <si>
    <t>Average of Income</t>
  </si>
  <si>
    <t>Column Labels</t>
  </si>
  <si>
    <t>More than 10 Miles</t>
  </si>
  <si>
    <t>Adolescent</t>
  </si>
  <si>
    <t>Middle Age</t>
  </si>
  <si>
    <t>Old</t>
  </si>
  <si>
    <r>
      <t xml:space="preserve">  </t>
    </r>
    <r>
      <rPr>
        <b/>
        <sz val="28"/>
        <color theme="1"/>
        <rFont val="Calibri"/>
        <family val="2"/>
        <scheme val="minor"/>
      </rPr>
      <t>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</si>
</sst>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0" xfId="0" applyAlignment="1">
      <alignment horizontal="center"/>
    </xf>
    <xf numFmtId="0" fontId="19" fillId="33" borderId="0" xfId="0" applyFont="1" applyFill="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80833.333333333328</c:v>
                </c:pt>
                <c:pt idx="1">
                  <c:v>72500</c:v>
                </c:pt>
              </c:numCache>
            </c:numRef>
          </c:val>
          <c:extLst>
            <c:ext xmlns:c16="http://schemas.microsoft.com/office/drawing/2014/chart" uri="{C3380CC4-5D6E-409C-BE32-E72D297353CC}">
              <c16:uniqueId val="{00000000-C0E6-45AB-B8A4-91FA4A49903F}"/>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60000</c:v>
                </c:pt>
                <c:pt idx="1">
                  <c:v>66500</c:v>
                </c:pt>
              </c:numCache>
            </c:numRef>
          </c:val>
          <c:extLst>
            <c:ext xmlns:c16="http://schemas.microsoft.com/office/drawing/2014/chart" uri="{C3380CC4-5D6E-409C-BE32-E72D297353CC}">
              <c16:uniqueId val="{00000001-C0E6-45AB-B8A4-91FA4A49903F}"/>
            </c:ext>
          </c:extLst>
        </c:ser>
        <c:dLbls>
          <c:showLegendKey val="0"/>
          <c:showVal val="0"/>
          <c:showCatName val="0"/>
          <c:showSerName val="0"/>
          <c:showPercent val="0"/>
          <c:showBubbleSize val="0"/>
        </c:dLbls>
        <c:gapWidth val="150"/>
        <c:shape val="box"/>
        <c:axId val="31841872"/>
        <c:axId val="31834672"/>
        <c:axId val="21430800"/>
      </c:bar3DChart>
      <c:catAx>
        <c:axId val="3184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4672"/>
        <c:crosses val="autoZero"/>
        <c:auto val="1"/>
        <c:lblAlgn val="ctr"/>
        <c:lblOffset val="100"/>
        <c:noMultiLvlLbl val="0"/>
      </c:catAx>
      <c:valAx>
        <c:axId val="3183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1872"/>
        <c:crosses val="autoZero"/>
        <c:crossBetween val="between"/>
      </c:valAx>
      <c:serAx>
        <c:axId val="214308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467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A990-476B-ADD3-8273D2559D7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A990-476B-ADD3-8273D2559D77}"/>
            </c:ext>
          </c:extLst>
        </c:ser>
        <c:dLbls>
          <c:showLegendKey val="0"/>
          <c:showVal val="0"/>
          <c:showCatName val="0"/>
          <c:showSerName val="0"/>
          <c:showPercent val="0"/>
          <c:showBubbleSize val="0"/>
        </c:dLbls>
        <c:smooth val="0"/>
        <c:axId val="510850112"/>
        <c:axId val="510844352"/>
      </c:lineChart>
      <c:catAx>
        <c:axId val="51085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44352"/>
        <c:crosses val="autoZero"/>
        <c:auto val="1"/>
        <c:lblAlgn val="ctr"/>
        <c:lblOffset val="100"/>
        <c:noMultiLvlLbl val="0"/>
      </c:catAx>
      <c:valAx>
        <c:axId val="51084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1">
                  <c:v>20</c:v>
                </c:pt>
              </c:numCache>
            </c:numRef>
          </c:val>
          <c:smooth val="0"/>
          <c:extLst>
            <c:ext xmlns:c16="http://schemas.microsoft.com/office/drawing/2014/chart" uri="{C3380CC4-5D6E-409C-BE32-E72D297353CC}">
              <c16:uniqueId val="{00000000-7611-4252-A989-3B01C841C7A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c:v>
                </c:pt>
                <c:pt idx="1">
                  <c:v>24</c:v>
                </c:pt>
                <c:pt idx="2">
                  <c:v>4</c:v>
                </c:pt>
              </c:numCache>
            </c:numRef>
          </c:val>
          <c:smooth val="0"/>
          <c:extLst>
            <c:ext xmlns:c16="http://schemas.microsoft.com/office/drawing/2014/chart" uri="{C3380CC4-5D6E-409C-BE32-E72D297353CC}">
              <c16:uniqueId val="{00000001-7611-4252-A989-3B01C841C7AD}"/>
            </c:ext>
          </c:extLst>
        </c:ser>
        <c:dLbls>
          <c:showLegendKey val="0"/>
          <c:showVal val="0"/>
          <c:showCatName val="0"/>
          <c:showSerName val="0"/>
          <c:showPercent val="0"/>
          <c:showBubbleSize val="0"/>
        </c:dLbls>
        <c:marker val="1"/>
        <c:smooth val="0"/>
        <c:axId val="1645363232"/>
        <c:axId val="1645364672"/>
      </c:lineChart>
      <c:catAx>
        <c:axId val="164536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64672"/>
        <c:crosses val="autoZero"/>
        <c:auto val="1"/>
        <c:lblAlgn val="ctr"/>
        <c:lblOffset val="100"/>
        <c:noMultiLvlLbl val="0"/>
      </c:catAx>
      <c:valAx>
        <c:axId val="16453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6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"$"#,##0</c:formatCode>
                <c:ptCount val="2"/>
                <c:pt idx="0">
                  <c:v>80833.333333333328</c:v>
                </c:pt>
                <c:pt idx="1">
                  <c:v>72500</c:v>
                </c:pt>
              </c:numCache>
            </c:numRef>
          </c:val>
          <c:extLst>
            <c:ext xmlns:c16="http://schemas.microsoft.com/office/drawing/2014/chart" uri="{C3380CC4-5D6E-409C-BE32-E72D297353CC}">
              <c16:uniqueId val="{00000000-2D61-400F-BE26-0AA003FB3022}"/>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"$"#,##0</c:formatCode>
                <c:ptCount val="2"/>
                <c:pt idx="0">
                  <c:v>60000</c:v>
                </c:pt>
                <c:pt idx="1">
                  <c:v>66500</c:v>
                </c:pt>
              </c:numCache>
            </c:numRef>
          </c:val>
          <c:extLst>
            <c:ext xmlns:c16="http://schemas.microsoft.com/office/drawing/2014/chart" uri="{C3380CC4-5D6E-409C-BE32-E72D297353CC}">
              <c16:uniqueId val="{00000001-2D61-400F-BE26-0AA003FB3022}"/>
            </c:ext>
          </c:extLst>
        </c:ser>
        <c:dLbls>
          <c:showLegendKey val="0"/>
          <c:showVal val="0"/>
          <c:showCatName val="0"/>
          <c:showSerName val="0"/>
          <c:showPercent val="0"/>
          <c:showBubbleSize val="0"/>
        </c:dLbls>
        <c:gapWidth val="150"/>
        <c:shape val="box"/>
        <c:axId val="31841872"/>
        <c:axId val="31834672"/>
        <c:axId val="21430800"/>
      </c:bar3DChart>
      <c:catAx>
        <c:axId val="3184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4672"/>
        <c:crosses val="autoZero"/>
        <c:auto val="1"/>
        <c:lblAlgn val="ctr"/>
        <c:lblOffset val="100"/>
        <c:noMultiLvlLbl val="0"/>
      </c:catAx>
      <c:valAx>
        <c:axId val="3183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41872"/>
        <c:crosses val="autoZero"/>
        <c:crossBetween val="between"/>
      </c:valAx>
      <c:serAx>
        <c:axId val="214308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467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1BB8-4672-881D-1D2EEE373AB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1BB8-4672-881D-1D2EEE373AB6}"/>
            </c:ext>
          </c:extLst>
        </c:ser>
        <c:dLbls>
          <c:showLegendKey val="0"/>
          <c:showVal val="0"/>
          <c:showCatName val="0"/>
          <c:showSerName val="0"/>
          <c:showPercent val="0"/>
          <c:showBubbleSize val="0"/>
        </c:dLbls>
        <c:smooth val="0"/>
        <c:axId val="510850112"/>
        <c:axId val="510844352"/>
      </c:lineChart>
      <c:catAx>
        <c:axId val="51085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44352"/>
        <c:crosses val="autoZero"/>
        <c:auto val="1"/>
        <c:lblAlgn val="ctr"/>
        <c:lblOffset val="100"/>
        <c:noMultiLvlLbl val="0"/>
      </c:catAx>
      <c:valAx>
        <c:axId val="51084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1">
                  <c:v>20</c:v>
                </c:pt>
              </c:numCache>
            </c:numRef>
          </c:val>
          <c:smooth val="0"/>
          <c:extLst>
            <c:ext xmlns:c16="http://schemas.microsoft.com/office/drawing/2014/chart" uri="{C3380CC4-5D6E-409C-BE32-E72D297353CC}">
              <c16:uniqueId val="{00000000-F2F2-446C-BFF0-2941744F149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c:v>
                </c:pt>
                <c:pt idx="1">
                  <c:v>24</c:v>
                </c:pt>
                <c:pt idx="2">
                  <c:v>4</c:v>
                </c:pt>
              </c:numCache>
            </c:numRef>
          </c:val>
          <c:smooth val="0"/>
          <c:extLst>
            <c:ext xmlns:c16="http://schemas.microsoft.com/office/drawing/2014/chart" uri="{C3380CC4-5D6E-409C-BE32-E72D297353CC}">
              <c16:uniqueId val="{00000001-F2F2-446C-BFF0-2941744F149A}"/>
            </c:ext>
          </c:extLst>
        </c:ser>
        <c:dLbls>
          <c:showLegendKey val="0"/>
          <c:showVal val="0"/>
          <c:showCatName val="0"/>
          <c:showSerName val="0"/>
          <c:showPercent val="0"/>
          <c:showBubbleSize val="0"/>
        </c:dLbls>
        <c:marker val="1"/>
        <c:smooth val="0"/>
        <c:axId val="1645363232"/>
        <c:axId val="1645364672"/>
      </c:lineChart>
      <c:catAx>
        <c:axId val="164536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64672"/>
        <c:crosses val="autoZero"/>
        <c:auto val="1"/>
        <c:lblAlgn val="ctr"/>
        <c:lblOffset val="100"/>
        <c:noMultiLvlLbl val="0"/>
      </c:catAx>
      <c:valAx>
        <c:axId val="16453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6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12700</xdr:rowOff>
    </xdr:from>
    <xdr:to>
      <xdr:col>11</xdr:col>
      <xdr:colOff>514350</xdr:colOff>
      <xdr:row>14</xdr:row>
      <xdr:rowOff>177800</xdr:rowOff>
    </xdr:to>
    <xdr:graphicFrame macro="">
      <xdr:nvGraphicFramePr>
        <xdr:cNvPr id="2" name="Chart 1">
          <a:extLst>
            <a:ext uri="{FF2B5EF4-FFF2-40B4-BE49-F238E27FC236}">
              <a16:creationId xmlns:a16="http://schemas.microsoft.com/office/drawing/2014/main" id="{DE264D1D-305E-A744-4443-392A8CFBA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222250</xdr:colOff>
      <xdr:row>18</xdr:row>
      <xdr:rowOff>152400</xdr:rowOff>
    </xdr:from>
    <xdr:to>
      <xdr:col>11</xdr:col>
      <xdr:colOff>527050</xdr:colOff>
      <xdr:row>33</xdr:row>
      <xdr:rowOff>133350</xdr:rowOff>
    </xdr:to>
    <xdr:graphicFrame macro="">
      <xdr:nvGraphicFramePr>
        <xdr:cNvPr id="3" name="Chart 2">
          <a:extLst>
            <a:ext uri="{FF2B5EF4-FFF2-40B4-BE49-F238E27FC236}">
              <a16:creationId xmlns:a16="http://schemas.microsoft.com/office/drawing/2014/main" id="{DB6B6F03-2577-B83A-D9A7-790508CC9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165100</xdr:colOff>
      <xdr:row>35</xdr:row>
      <xdr:rowOff>171450</xdr:rowOff>
    </xdr:from>
    <xdr:to>
      <xdr:col>11</xdr:col>
      <xdr:colOff>469900</xdr:colOff>
      <xdr:row>50</xdr:row>
      <xdr:rowOff>152400</xdr:rowOff>
    </xdr:to>
    <xdr:graphicFrame macro="">
      <xdr:nvGraphicFramePr>
        <xdr:cNvPr id="4" name="Chart 3">
          <a:extLst>
            <a:ext uri="{FF2B5EF4-FFF2-40B4-BE49-F238E27FC236}">
              <a16:creationId xmlns:a16="http://schemas.microsoft.com/office/drawing/2014/main" id="{C195DE97-1C3A-799F-3476-3BEBBCDB1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48491</xdr:colOff>
      <xdr:row>4</xdr:row>
      <xdr:rowOff>87169</xdr:rowOff>
    </xdr:from>
    <xdr:to>
      <xdr:col>10</xdr:col>
      <xdr:colOff>355600</xdr:colOff>
      <xdr:row>17</xdr:row>
      <xdr:rowOff>103909</xdr:rowOff>
    </xdr:to>
    <xdr:graphicFrame macro="">
      <xdr:nvGraphicFramePr>
        <xdr:cNvPr id="5" name="Chart 4">
          <a:extLst>
            <a:ext uri="{FF2B5EF4-FFF2-40B4-BE49-F238E27FC236}">
              <a16:creationId xmlns:a16="http://schemas.microsoft.com/office/drawing/2014/main" id="{4ACB19AD-D76D-420C-9895-1CC683C98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387350</xdr:colOff>
      <xdr:row>4</xdr:row>
      <xdr:rowOff>98715</xdr:rowOff>
    </xdr:from>
    <xdr:to>
      <xdr:col>18</xdr:col>
      <xdr:colOff>80241</xdr:colOff>
      <xdr:row>17</xdr:row>
      <xdr:rowOff>92364</xdr:rowOff>
    </xdr:to>
    <xdr:graphicFrame macro="">
      <xdr:nvGraphicFramePr>
        <xdr:cNvPr id="6" name="Chart 5">
          <a:extLst>
            <a:ext uri="{FF2B5EF4-FFF2-40B4-BE49-F238E27FC236}">
              <a16:creationId xmlns:a16="http://schemas.microsoft.com/office/drawing/2014/main" id="{58C8D0A7-C917-4B7B-8CE7-7C362567F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461818</xdr:colOff>
      <xdr:row>17</xdr:row>
      <xdr:rowOff>122959</xdr:rowOff>
    </xdr:from>
    <xdr:to>
      <xdr:col>15</xdr:col>
      <xdr:colOff>442768</xdr:colOff>
      <xdr:row>32</xdr:row>
      <xdr:rowOff>103909</xdr:rowOff>
    </xdr:to>
    <xdr:graphicFrame macro="">
      <xdr:nvGraphicFramePr>
        <xdr:cNvPr id="7" name="Chart 6">
          <a:extLst>
            <a:ext uri="{FF2B5EF4-FFF2-40B4-BE49-F238E27FC236}">
              <a16:creationId xmlns:a16="http://schemas.microsoft.com/office/drawing/2014/main" id="{64CF944E-C523-4D16-BDBB-A695FB906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91786</xdr:colOff>
      <xdr:row>4</xdr:row>
      <xdr:rowOff>95251</xdr:rowOff>
    </xdr:from>
    <xdr:to>
      <xdr:col>2</xdr:col>
      <xdr:colOff>548986</xdr:colOff>
      <xdr:row>9</xdr:row>
      <xdr:rowOff>44451</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49C4A903-30D6-3BA6-E899-51BEEBA7959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1786" y="1111251"/>
              <a:ext cx="1681018" cy="872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77932</xdr:colOff>
      <xdr:row>15</xdr:row>
      <xdr:rowOff>128155</xdr:rowOff>
    </xdr:from>
    <xdr:to>
      <xdr:col>2</xdr:col>
      <xdr:colOff>535132</xdr:colOff>
      <xdr:row>24</xdr:row>
      <xdr:rowOff>147204</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D4220EE1-F270-3BDA-5A0C-C3F0C8CA1B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7932" y="3176155"/>
              <a:ext cx="1681018" cy="1681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76777</xdr:colOff>
      <xdr:row>9</xdr:row>
      <xdr:rowOff>88901</xdr:rowOff>
    </xdr:from>
    <xdr:to>
      <xdr:col>2</xdr:col>
      <xdr:colOff>559377</xdr:colOff>
      <xdr:row>15</xdr:row>
      <xdr:rowOff>120650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925E9C3E-D68C-C8E9-752E-A6EBB330AD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777" y="2028537"/>
              <a:ext cx="1706418" cy="1140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四万十Shimanto" refreshedDate="46316.551226620373" createdVersion="8" refreshedVersion="8" minRefreshableVersion="3" recordCount="1000" xr:uid="{0377876E-6546-48A3-9B16-1EFF98FB83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51753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0"/>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C79C6-BAF8-408E-8A45-F902D3CBFBE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DB9B0-964A-4FEE-AABD-9DFB2F87541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400A9-4BE0-4237-A737-FF84E37F983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7C9251-7F00-4B3E-AE81-7F499510E669}" sourceName="Marital Status">
  <pivotTables>
    <pivotTable tabId="3" name="PivotTable1"/>
    <pivotTable tabId="3" name="PivotTable2"/>
    <pivotTable tabId="3" name="PivotTable3"/>
  </pivotTables>
  <data>
    <tabular pivotCacheId="165175348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23B3C0-C37B-497E-97EA-73926A5FD263}" sourceName="Education">
  <pivotTables>
    <pivotTable tabId="3" name="PivotTable1"/>
    <pivotTable tabId="3" name="PivotTable2"/>
    <pivotTable tabId="3" name="PivotTable3"/>
  </pivotTables>
  <data>
    <tabular pivotCacheId="165175348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A0EC13-A755-4D8A-B38D-33631FFABB60}" sourceName="Region">
  <pivotTables>
    <pivotTable tabId="3" name="PivotTable1"/>
    <pivotTable tabId="3" name="PivotTable2"/>
    <pivotTable tabId="3" name="PivotTable3"/>
  </pivotTables>
  <data>
    <tabular pivotCacheId="1651753482">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2E4762D-60FA-47DD-9DB4-DC9752E48F65}" cache="Slicer_Marital_Status" caption="Marital Status" rowHeight="241300"/>
  <slicer name="Education" xr10:uid="{F4DD23EC-3F27-466D-B582-FB726A0D590A}" cache="Slicer_Education" caption="Education" rowHeight="241300"/>
  <slicer name="Region" xr10:uid="{56CDD287-98D3-4437-BBB2-718477B6A22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4"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135C-F159-4374-82DD-68299260EC45}">
  <dimension ref="A1:N1001"/>
  <sheetViews>
    <sheetView workbookViewId="0">
      <selection activeCell="J13" sqref="J13"/>
    </sheetView>
  </sheetViews>
  <sheetFormatPr defaultRowHeight="14.5" x14ac:dyDescent="0.35"/>
  <cols>
    <col min="2" max="2" width="11.6328125" customWidth="1"/>
    <col min="3" max="3" width="9.7265625" customWidth="1"/>
    <col min="4" max="4" width="10.81640625" style="3" bestFit="1" customWidth="1"/>
    <col min="6" max="6" width="15" customWidth="1"/>
    <col min="7" max="7" width="13.6328125" customWidth="1"/>
    <col min="8" max="8" width="12.6328125" customWidth="1"/>
    <col min="10" max="10" width="16.36328125" customWidth="1"/>
    <col min="13" max="13" width="10.089843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37</v>
      </c>
      <c r="C2" t="s">
        <v>38</v>
      </c>
      <c r="D2" s="3">
        <v>40000</v>
      </c>
      <c r="E2">
        <v>1</v>
      </c>
      <c r="F2" t="s">
        <v>13</v>
      </c>
      <c r="G2" t="s">
        <v>14</v>
      </c>
      <c r="H2" t="s">
        <v>15</v>
      </c>
      <c r="I2">
        <v>0</v>
      </c>
      <c r="J2" t="s">
        <v>16</v>
      </c>
      <c r="K2" t="s">
        <v>17</v>
      </c>
      <c r="L2">
        <v>42</v>
      </c>
      <c r="M2" t="str">
        <f>IF(L2&gt;=57,"Old",IF(L2&gt;=31,"Middle Age",IF(L2&lt;31,"Adolescent","Invalid")))</f>
        <v>Middle Age</v>
      </c>
      <c r="N2" t="s">
        <v>18</v>
      </c>
    </row>
    <row r="3" spans="1:14" x14ac:dyDescent="0.35">
      <c r="A3">
        <v>24107</v>
      </c>
      <c r="B3" t="s">
        <v>37</v>
      </c>
      <c r="C3" t="s">
        <v>39</v>
      </c>
      <c r="D3" s="3">
        <v>30000</v>
      </c>
      <c r="E3">
        <v>3</v>
      </c>
      <c r="F3" t="s">
        <v>19</v>
      </c>
      <c r="G3" t="s">
        <v>20</v>
      </c>
      <c r="H3" t="s">
        <v>15</v>
      </c>
      <c r="I3">
        <v>1</v>
      </c>
      <c r="J3" t="s">
        <v>16</v>
      </c>
      <c r="K3" t="s">
        <v>17</v>
      </c>
      <c r="L3">
        <v>43</v>
      </c>
      <c r="M3" t="str">
        <f t="shared" ref="M3:M66" si="0">IF(L3&gt;=57,"Old",IF(L3&gt;=31,"Middle Age",IF(L3&lt;31,"Adolescent","Invalid")))</f>
        <v>Middle Age</v>
      </c>
      <c r="N3" t="s">
        <v>18</v>
      </c>
    </row>
    <row r="4" spans="1:14" x14ac:dyDescent="0.35">
      <c r="A4">
        <v>14177</v>
      </c>
      <c r="B4" t="s">
        <v>37</v>
      </c>
      <c r="C4" t="s">
        <v>39</v>
      </c>
      <c r="D4" s="3">
        <v>80000</v>
      </c>
      <c r="E4">
        <v>5</v>
      </c>
      <c r="F4" t="s">
        <v>19</v>
      </c>
      <c r="G4" t="s">
        <v>21</v>
      </c>
      <c r="H4" t="s">
        <v>18</v>
      </c>
      <c r="I4">
        <v>2</v>
      </c>
      <c r="J4" t="s">
        <v>22</v>
      </c>
      <c r="K4" t="s">
        <v>17</v>
      </c>
      <c r="L4">
        <v>60</v>
      </c>
      <c r="M4" t="str">
        <f t="shared" si="0"/>
        <v>Old</v>
      </c>
      <c r="N4" t="s">
        <v>18</v>
      </c>
    </row>
    <row r="5" spans="1:14" x14ac:dyDescent="0.35">
      <c r="A5">
        <v>24381</v>
      </c>
      <c r="B5" t="s">
        <v>36</v>
      </c>
      <c r="C5" t="s">
        <v>39</v>
      </c>
      <c r="D5" s="3">
        <v>70000</v>
      </c>
      <c r="E5">
        <v>0</v>
      </c>
      <c r="F5" t="s">
        <v>13</v>
      </c>
      <c r="G5" t="s">
        <v>21</v>
      </c>
      <c r="H5" t="s">
        <v>15</v>
      </c>
      <c r="I5">
        <v>1</v>
      </c>
      <c r="J5" t="s">
        <v>23</v>
      </c>
      <c r="K5" t="s">
        <v>24</v>
      </c>
      <c r="L5">
        <v>41</v>
      </c>
      <c r="M5" t="str">
        <f t="shared" si="0"/>
        <v>Middle Age</v>
      </c>
      <c r="N5" t="s">
        <v>15</v>
      </c>
    </row>
    <row r="6" spans="1:14" x14ac:dyDescent="0.35">
      <c r="A6">
        <v>25597</v>
      </c>
      <c r="B6" t="s">
        <v>36</v>
      </c>
      <c r="C6" t="s">
        <v>39</v>
      </c>
      <c r="D6" s="3">
        <v>30000</v>
      </c>
      <c r="E6">
        <v>0</v>
      </c>
      <c r="F6" t="s">
        <v>13</v>
      </c>
      <c r="G6" t="s">
        <v>20</v>
      </c>
      <c r="H6" t="s">
        <v>18</v>
      </c>
      <c r="I6">
        <v>0</v>
      </c>
      <c r="J6" t="s">
        <v>16</v>
      </c>
      <c r="K6" t="s">
        <v>17</v>
      </c>
      <c r="L6">
        <v>36</v>
      </c>
      <c r="M6" t="str">
        <f t="shared" si="0"/>
        <v>Middle Age</v>
      </c>
      <c r="N6" t="s">
        <v>15</v>
      </c>
    </row>
    <row r="7" spans="1:14" x14ac:dyDescent="0.35">
      <c r="A7">
        <v>13507</v>
      </c>
      <c r="B7" t="s">
        <v>37</v>
      </c>
      <c r="C7" t="s">
        <v>38</v>
      </c>
      <c r="D7" s="3">
        <v>10000</v>
      </c>
      <c r="E7">
        <v>2</v>
      </c>
      <c r="F7" t="s">
        <v>19</v>
      </c>
      <c r="G7" t="s">
        <v>25</v>
      </c>
      <c r="H7" t="s">
        <v>15</v>
      </c>
      <c r="I7">
        <v>0</v>
      </c>
      <c r="J7" t="s">
        <v>26</v>
      </c>
      <c r="K7" t="s">
        <v>17</v>
      </c>
      <c r="L7">
        <v>50</v>
      </c>
      <c r="M7" t="str">
        <f t="shared" si="0"/>
        <v>Middle Age</v>
      </c>
      <c r="N7" t="s">
        <v>18</v>
      </c>
    </row>
    <row r="8" spans="1:14" x14ac:dyDescent="0.35">
      <c r="A8">
        <v>27974</v>
      </c>
      <c r="B8" t="s">
        <v>36</v>
      </c>
      <c r="C8" t="s">
        <v>39</v>
      </c>
      <c r="D8" s="3">
        <v>160000</v>
      </c>
      <c r="E8">
        <v>2</v>
      </c>
      <c r="F8" t="s">
        <v>27</v>
      </c>
      <c r="G8" t="s">
        <v>28</v>
      </c>
      <c r="H8" t="s">
        <v>15</v>
      </c>
      <c r="I8">
        <v>4</v>
      </c>
      <c r="J8" t="s">
        <v>16</v>
      </c>
      <c r="K8" t="s">
        <v>24</v>
      </c>
      <c r="L8">
        <v>33</v>
      </c>
      <c r="M8" t="str">
        <f t="shared" si="0"/>
        <v>Middle Age</v>
      </c>
      <c r="N8" t="s">
        <v>15</v>
      </c>
    </row>
    <row r="9" spans="1:14" x14ac:dyDescent="0.35">
      <c r="A9">
        <v>19364</v>
      </c>
      <c r="B9" t="s">
        <v>37</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36</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37</v>
      </c>
      <c r="C14" t="s">
        <v>39</v>
      </c>
      <c r="D14" s="3">
        <v>170000</v>
      </c>
      <c r="E14">
        <v>5</v>
      </c>
      <c r="F14" t="s">
        <v>19</v>
      </c>
      <c r="G14" t="s">
        <v>21</v>
      </c>
      <c r="H14" t="s">
        <v>15</v>
      </c>
      <c r="I14">
        <v>0</v>
      </c>
      <c r="J14" t="s">
        <v>16</v>
      </c>
      <c r="K14" t="s">
        <v>17</v>
      </c>
      <c r="L14">
        <v>55</v>
      </c>
      <c r="M14" t="str">
        <f t="shared" si="0"/>
        <v>Middle Age</v>
      </c>
      <c r="N14" t="s">
        <v>18</v>
      </c>
    </row>
    <row r="15" spans="1:14" x14ac:dyDescent="0.35">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36</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36</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36</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36</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36</v>
      </c>
      <c r="C21" t="s">
        <v>39</v>
      </c>
      <c r="D21" s="3">
        <v>20000</v>
      </c>
      <c r="E21">
        <v>2</v>
      </c>
      <c r="F21" t="s">
        <v>29</v>
      </c>
      <c r="G21" t="s">
        <v>20</v>
      </c>
      <c r="H21" t="s">
        <v>15</v>
      </c>
      <c r="I21">
        <v>2</v>
      </c>
      <c r="J21" t="s">
        <v>23</v>
      </c>
      <c r="K21" t="s">
        <v>24</v>
      </c>
      <c r="L21">
        <v>55</v>
      </c>
      <c r="M21" t="str">
        <f t="shared" si="0"/>
        <v>Middle Age</v>
      </c>
      <c r="N21" t="s">
        <v>15</v>
      </c>
    </row>
    <row r="22" spans="1:14" x14ac:dyDescent="0.35">
      <c r="A22">
        <v>25598</v>
      </c>
      <c r="B22" t="s">
        <v>37</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36</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36</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38</v>
      </c>
      <c r="D25" s="3">
        <v>80000</v>
      </c>
      <c r="E25">
        <v>5</v>
      </c>
      <c r="F25" t="s">
        <v>27</v>
      </c>
      <c r="G25" t="s">
        <v>28</v>
      </c>
      <c r="H25" t="s">
        <v>18</v>
      </c>
      <c r="I25">
        <v>3</v>
      </c>
      <c r="J25" t="s">
        <v>23</v>
      </c>
      <c r="K25" t="s">
        <v>17</v>
      </c>
      <c r="L25">
        <v>56</v>
      </c>
      <c r="M25" t="str">
        <f t="shared" si="0"/>
        <v>Middle Age</v>
      </c>
      <c r="N25" t="s">
        <v>18</v>
      </c>
    </row>
    <row r="26" spans="1:14" x14ac:dyDescent="0.35">
      <c r="A26">
        <v>27184</v>
      </c>
      <c r="B26" t="s">
        <v>36</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36</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36</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36</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36</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36</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36</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36</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36</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36</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36</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36</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36</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36</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36</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36</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36</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36</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37</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36</v>
      </c>
      <c r="C55" t="s">
        <v>38</v>
      </c>
      <c r="D55" s="3">
        <v>90000</v>
      </c>
      <c r="E55">
        <v>4</v>
      </c>
      <c r="F55" t="s">
        <v>27</v>
      </c>
      <c r="G55" t="s">
        <v>28</v>
      </c>
      <c r="H55" t="s">
        <v>18</v>
      </c>
      <c r="I55">
        <v>3</v>
      </c>
      <c r="J55" t="s">
        <v>23</v>
      </c>
      <c r="K55" t="s">
        <v>17</v>
      </c>
      <c r="L55">
        <v>56</v>
      </c>
      <c r="M55" t="str">
        <f t="shared" si="0"/>
        <v>Middle Age</v>
      </c>
      <c r="N55" t="s">
        <v>18</v>
      </c>
    </row>
    <row r="56" spans="1:14" x14ac:dyDescent="0.35">
      <c r="A56">
        <v>17319</v>
      </c>
      <c r="B56" t="s">
        <v>36</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36</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36</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36</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37</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36</v>
      </c>
      <c r="C67" t="s">
        <v>39</v>
      </c>
      <c r="D67" s="3">
        <v>30000</v>
      </c>
      <c r="E67">
        <v>2</v>
      </c>
      <c r="F67" t="s">
        <v>19</v>
      </c>
      <c r="G67" t="s">
        <v>20</v>
      </c>
      <c r="H67" t="s">
        <v>15</v>
      </c>
      <c r="I67">
        <v>2</v>
      </c>
      <c r="J67" t="s">
        <v>23</v>
      </c>
      <c r="K67" t="s">
        <v>24</v>
      </c>
      <c r="L67">
        <v>68</v>
      </c>
      <c r="M67" t="str">
        <f t="shared" ref="M67:M130" si="1">IF(L67&gt;=57,"Old",IF(L67&gt;=31,"Middle Age",IF(L67&lt;31,"Adolescent","Invalid")))</f>
        <v>Old</v>
      </c>
      <c r="N67" t="s">
        <v>18</v>
      </c>
    </row>
    <row r="68" spans="1:14" x14ac:dyDescent="0.35">
      <c r="A68">
        <v>29355</v>
      </c>
      <c r="B68" t="s">
        <v>37</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36</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36</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36</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36</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36</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36</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36</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36</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36</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36</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36</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36</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36</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36</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36</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36</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36</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36</v>
      </c>
      <c r="C96" t="s">
        <v>38</v>
      </c>
      <c r="D96" s="3">
        <v>30000</v>
      </c>
      <c r="E96">
        <v>3</v>
      </c>
      <c r="F96" t="s">
        <v>27</v>
      </c>
      <c r="G96" t="s">
        <v>14</v>
      </c>
      <c r="H96" t="s">
        <v>15</v>
      </c>
      <c r="I96">
        <v>2</v>
      </c>
      <c r="J96" t="s">
        <v>23</v>
      </c>
      <c r="K96" t="s">
        <v>24</v>
      </c>
      <c r="L96">
        <v>55</v>
      </c>
      <c r="M96" t="str">
        <f t="shared" si="1"/>
        <v>Middle Age</v>
      </c>
      <c r="N96" t="s">
        <v>18</v>
      </c>
    </row>
    <row r="97" spans="1:14" x14ac:dyDescent="0.35">
      <c r="A97">
        <v>17197</v>
      </c>
      <c r="B97" t="s">
        <v>36</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36</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36</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36</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36</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36</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36</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36</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36</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36</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36</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36</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36</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36</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36</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36</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36</v>
      </c>
      <c r="C125" t="s">
        <v>38</v>
      </c>
      <c r="D125" s="3">
        <v>100000</v>
      </c>
      <c r="E125">
        <v>3</v>
      </c>
      <c r="F125" t="s">
        <v>19</v>
      </c>
      <c r="G125" t="s">
        <v>28</v>
      </c>
      <c r="H125" t="s">
        <v>18</v>
      </c>
      <c r="I125">
        <v>4</v>
      </c>
      <c r="J125" t="s">
        <v>23</v>
      </c>
      <c r="K125" t="s">
        <v>17</v>
      </c>
      <c r="L125">
        <v>56</v>
      </c>
      <c r="M125" t="str">
        <f t="shared" si="1"/>
        <v>Middle Age</v>
      </c>
      <c r="N125" t="s">
        <v>18</v>
      </c>
    </row>
    <row r="126" spans="1:14" x14ac:dyDescent="0.35">
      <c r="A126">
        <v>27775</v>
      </c>
      <c r="B126" t="s">
        <v>36</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36</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36</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36</v>
      </c>
      <c r="C131" t="s">
        <v>39</v>
      </c>
      <c r="D131" s="3">
        <v>10000</v>
      </c>
      <c r="E131">
        <v>3</v>
      </c>
      <c r="F131" t="s">
        <v>27</v>
      </c>
      <c r="G131" t="s">
        <v>25</v>
      </c>
      <c r="H131" t="s">
        <v>15</v>
      </c>
      <c r="I131">
        <v>1</v>
      </c>
      <c r="J131" t="s">
        <v>16</v>
      </c>
      <c r="K131" t="s">
        <v>17</v>
      </c>
      <c r="L131">
        <v>39</v>
      </c>
      <c r="M131" t="str">
        <f t="shared" ref="M131:M194" si="2">IF(L131&gt;=57,"Old",IF(L131&gt;=31,"Middle Age",IF(L131&lt;31,"Adolescent","Invalid")))</f>
        <v>Middle Age</v>
      </c>
      <c r="N131" t="s">
        <v>15</v>
      </c>
    </row>
    <row r="132" spans="1:14" x14ac:dyDescent="0.35">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39</v>
      </c>
      <c r="D133" s="3">
        <v>90000</v>
      </c>
      <c r="E133">
        <v>4</v>
      </c>
      <c r="F133" t="s">
        <v>27</v>
      </c>
      <c r="G133" t="s">
        <v>28</v>
      </c>
      <c r="H133" t="s">
        <v>15</v>
      </c>
      <c r="I133">
        <v>3</v>
      </c>
      <c r="J133" t="s">
        <v>23</v>
      </c>
      <c r="K133" t="s">
        <v>17</v>
      </c>
      <c r="L133">
        <v>56</v>
      </c>
      <c r="M133" t="str">
        <f t="shared" si="2"/>
        <v>Middle Age</v>
      </c>
      <c r="N133" t="s">
        <v>15</v>
      </c>
    </row>
    <row r="134" spans="1:14" x14ac:dyDescent="0.35">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36</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36</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36</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36</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38</v>
      </c>
      <c r="D140" s="3">
        <v>20000</v>
      </c>
      <c r="E140">
        <v>2</v>
      </c>
      <c r="F140" t="s">
        <v>29</v>
      </c>
      <c r="G140" t="s">
        <v>20</v>
      </c>
      <c r="H140" t="s">
        <v>15</v>
      </c>
      <c r="I140">
        <v>2</v>
      </c>
      <c r="J140" t="s">
        <v>23</v>
      </c>
      <c r="K140" t="s">
        <v>24</v>
      </c>
      <c r="L140">
        <v>55</v>
      </c>
      <c r="M140" t="str">
        <f t="shared" si="2"/>
        <v>Middle Age</v>
      </c>
      <c r="N140" t="s">
        <v>15</v>
      </c>
    </row>
    <row r="141" spans="1:14" x14ac:dyDescent="0.35">
      <c r="A141">
        <v>26547</v>
      </c>
      <c r="B141" t="s">
        <v>36</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36</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36</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36</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36</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36</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36</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36</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36</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36</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36</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36</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36</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36</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36</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36</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36</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36</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36</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36</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36</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39</v>
      </c>
      <c r="D180" s="3">
        <v>160000</v>
      </c>
      <c r="E180">
        <v>4</v>
      </c>
      <c r="F180" t="s">
        <v>19</v>
      </c>
      <c r="G180" t="s">
        <v>21</v>
      </c>
      <c r="H180" t="s">
        <v>18</v>
      </c>
      <c r="I180">
        <v>2</v>
      </c>
      <c r="J180" t="s">
        <v>46</v>
      </c>
      <c r="K180" t="s">
        <v>17</v>
      </c>
      <c r="L180">
        <v>55</v>
      </c>
      <c r="M180" t="str">
        <f t="shared" si="2"/>
        <v>Middle Age</v>
      </c>
      <c r="N180" t="s">
        <v>15</v>
      </c>
    </row>
    <row r="181" spans="1:14" x14ac:dyDescent="0.35">
      <c r="A181">
        <v>12212</v>
      </c>
      <c r="B181" t="s">
        <v>37</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36</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38</v>
      </c>
      <c r="D183" s="3">
        <v>30000</v>
      </c>
      <c r="E183">
        <v>3</v>
      </c>
      <c r="F183" t="s">
        <v>19</v>
      </c>
      <c r="G183" t="s">
        <v>20</v>
      </c>
      <c r="H183" t="s">
        <v>18</v>
      </c>
      <c r="I183">
        <v>2</v>
      </c>
      <c r="J183" t="s">
        <v>26</v>
      </c>
      <c r="K183" t="s">
        <v>24</v>
      </c>
      <c r="L183">
        <v>55</v>
      </c>
      <c r="M183" t="str">
        <f t="shared" si="2"/>
        <v>Middle Age</v>
      </c>
      <c r="N183" t="s">
        <v>15</v>
      </c>
    </row>
    <row r="184" spans="1:14" x14ac:dyDescent="0.35">
      <c r="A184">
        <v>19445</v>
      </c>
      <c r="B184" t="s">
        <v>37</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36</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37</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38</v>
      </c>
      <c r="D188" s="3">
        <v>30000</v>
      </c>
      <c r="E188">
        <v>3</v>
      </c>
      <c r="F188" t="s">
        <v>27</v>
      </c>
      <c r="G188" t="s">
        <v>14</v>
      </c>
      <c r="H188" t="s">
        <v>18</v>
      </c>
      <c r="I188">
        <v>2</v>
      </c>
      <c r="J188" t="s">
        <v>26</v>
      </c>
      <c r="K188" t="s">
        <v>24</v>
      </c>
      <c r="L188">
        <v>56</v>
      </c>
      <c r="M188" t="str">
        <f t="shared" si="2"/>
        <v>Middle Age</v>
      </c>
      <c r="N188" t="s">
        <v>15</v>
      </c>
    </row>
    <row r="189" spans="1:14" x14ac:dyDescent="0.35">
      <c r="A189">
        <v>18151</v>
      </c>
      <c r="B189" t="s">
        <v>36</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37</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39</v>
      </c>
      <c r="D192" s="3">
        <v>30000</v>
      </c>
      <c r="E192">
        <v>3</v>
      </c>
      <c r="F192" t="s">
        <v>27</v>
      </c>
      <c r="G192" t="s">
        <v>14</v>
      </c>
      <c r="H192" t="s">
        <v>15</v>
      </c>
      <c r="I192">
        <v>2</v>
      </c>
      <c r="J192" t="s">
        <v>23</v>
      </c>
      <c r="K192" t="s">
        <v>24</v>
      </c>
      <c r="L192">
        <v>55</v>
      </c>
      <c r="M192" t="str">
        <f t="shared" si="2"/>
        <v>Middle Age</v>
      </c>
      <c r="N192" t="s">
        <v>18</v>
      </c>
    </row>
    <row r="193" spans="1:14" x14ac:dyDescent="0.35">
      <c r="A193">
        <v>26944</v>
      </c>
      <c r="B193" t="s">
        <v>36</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36</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37</v>
      </c>
      <c r="C195" t="s">
        <v>38</v>
      </c>
      <c r="D195" s="3">
        <v>70000</v>
      </c>
      <c r="E195">
        <v>5</v>
      </c>
      <c r="F195" t="s">
        <v>13</v>
      </c>
      <c r="G195" t="s">
        <v>21</v>
      </c>
      <c r="H195" t="s">
        <v>15</v>
      </c>
      <c r="I195">
        <v>4</v>
      </c>
      <c r="J195" t="s">
        <v>46</v>
      </c>
      <c r="K195" t="s">
        <v>24</v>
      </c>
      <c r="L195">
        <v>41</v>
      </c>
      <c r="M195" t="str">
        <f t="shared" ref="M195:M258" si="3">IF(L195&gt;=57,"Old",IF(L195&gt;=31,"Middle Age",IF(L195&lt;31,"Adolescent","Invalid")))</f>
        <v>Middle Age</v>
      </c>
      <c r="N195" t="s">
        <v>18</v>
      </c>
    </row>
    <row r="196" spans="1:14" x14ac:dyDescent="0.35">
      <c r="A196">
        <v>17843</v>
      </c>
      <c r="B196" t="s">
        <v>36</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36</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36</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36</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36</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36</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36</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36</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36</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36</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36</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36</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36</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36</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36</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36</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36</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36</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36</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36</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36</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37</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36</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36</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37</v>
      </c>
      <c r="C232" t="s">
        <v>39</v>
      </c>
      <c r="D232" s="3">
        <v>120000</v>
      </c>
      <c r="E232">
        <v>4</v>
      </c>
      <c r="F232" t="s">
        <v>19</v>
      </c>
      <c r="G232" t="s">
        <v>28</v>
      </c>
      <c r="H232" t="s">
        <v>15</v>
      </c>
      <c r="I232">
        <v>3</v>
      </c>
      <c r="J232" t="s">
        <v>46</v>
      </c>
      <c r="K232" t="s">
        <v>17</v>
      </c>
      <c r="L232">
        <v>56</v>
      </c>
      <c r="M232" t="str">
        <f t="shared" si="3"/>
        <v>Middle Age</v>
      </c>
      <c r="N232" t="s">
        <v>18</v>
      </c>
    </row>
    <row r="233" spans="1:14" x14ac:dyDescent="0.35">
      <c r="A233">
        <v>14777</v>
      </c>
      <c r="B233" t="s">
        <v>37</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36</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37</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36</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36</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36</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36</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36</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37</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36</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39</v>
      </c>
      <c r="D253" s="3">
        <v>130000</v>
      </c>
      <c r="E253">
        <v>4</v>
      </c>
      <c r="F253" t="s">
        <v>27</v>
      </c>
      <c r="G253" t="s">
        <v>21</v>
      </c>
      <c r="H253" t="s">
        <v>15</v>
      </c>
      <c r="I253">
        <v>3</v>
      </c>
      <c r="J253" t="s">
        <v>16</v>
      </c>
      <c r="K253" t="s">
        <v>17</v>
      </c>
      <c r="L253">
        <v>55</v>
      </c>
      <c r="M253" t="str">
        <f t="shared" si="3"/>
        <v>Middle Age</v>
      </c>
      <c r="N253" t="s">
        <v>18</v>
      </c>
    </row>
    <row r="254" spans="1:14" x14ac:dyDescent="0.35">
      <c r="A254">
        <v>12666</v>
      </c>
      <c r="B254" t="s">
        <v>36</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36</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36</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36</v>
      </c>
      <c r="C259" t="s">
        <v>38</v>
      </c>
      <c r="D259" s="3">
        <v>50000</v>
      </c>
      <c r="E259">
        <v>0</v>
      </c>
      <c r="F259" t="s">
        <v>31</v>
      </c>
      <c r="G259" t="s">
        <v>14</v>
      </c>
      <c r="H259" t="s">
        <v>15</v>
      </c>
      <c r="I259">
        <v>0</v>
      </c>
      <c r="J259" t="s">
        <v>16</v>
      </c>
      <c r="K259" t="s">
        <v>17</v>
      </c>
      <c r="L259">
        <v>36</v>
      </c>
      <c r="M259" t="str">
        <f t="shared" ref="M259:M322" si="4">IF(L259&gt;=57,"Old",IF(L259&gt;=31,"Middle Age",IF(L259&lt;31,"Adolescent","Invalid")))</f>
        <v>Middle Age</v>
      </c>
      <c r="N259" t="s">
        <v>15</v>
      </c>
    </row>
    <row r="260" spans="1:14" x14ac:dyDescent="0.35">
      <c r="A260">
        <v>14193</v>
      </c>
      <c r="B260" t="s">
        <v>36</v>
      </c>
      <c r="C260" t="s">
        <v>38</v>
      </c>
      <c r="D260" s="3">
        <v>100000</v>
      </c>
      <c r="E260">
        <v>3</v>
      </c>
      <c r="F260" t="s">
        <v>19</v>
      </c>
      <c r="G260" t="s">
        <v>28</v>
      </c>
      <c r="H260" t="s">
        <v>15</v>
      </c>
      <c r="I260">
        <v>4</v>
      </c>
      <c r="J260" t="s">
        <v>46</v>
      </c>
      <c r="K260" t="s">
        <v>17</v>
      </c>
      <c r="L260">
        <v>56</v>
      </c>
      <c r="M260" t="str">
        <f t="shared" si="4"/>
        <v>Middle Age</v>
      </c>
      <c r="N260" t="s">
        <v>18</v>
      </c>
    </row>
    <row r="261" spans="1:14" x14ac:dyDescent="0.35">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36</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36</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36</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36</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36</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36</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36</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36</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36</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36</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36</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36</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36</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36</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36</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36</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36</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36</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36</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36</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36</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36</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36</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36</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36</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36</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36</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37</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36</v>
      </c>
      <c r="C323" t="s">
        <v>38</v>
      </c>
      <c r="D323" s="3">
        <v>160000</v>
      </c>
      <c r="E323">
        <v>0</v>
      </c>
      <c r="F323" t="s">
        <v>31</v>
      </c>
      <c r="G323" t="s">
        <v>28</v>
      </c>
      <c r="H323" t="s">
        <v>18</v>
      </c>
      <c r="I323">
        <v>3</v>
      </c>
      <c r="J323" t="s">
        <v>16</v>
      </c>
      <c r="K323" t="s">
        <v>24</v>
      </c>
      <c r="L323">
        <v>47</v>
      </c>
      <c r="M323" t="str">
        <f t="shared" ref="M323:M386" si="5">IF(L323&gt;=57,"Old",IF(L323&gt;=31,"Middle Age",IF(L323&lt;31,"Adolescent","Invalid")))</f>
        <v>Middle Age</v>
      </c>
      <c r="N323" t="s">
        <v>15</v>
      </c>
    </row>
    <row r="324" spans="1:14" x14ac:dyDescent="0.35">
      <c r="A324">
        <v>16410</v>
      </c>
      <c r="B324" t="s">
        <v>36</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36</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36</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36</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36</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37</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36</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36</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36</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36</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36</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36</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36</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36</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36</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36</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36</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36</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36</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36</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36</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37</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36</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36</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36</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36</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36</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36</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36</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36</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36</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36</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39</v>
      </c>
      <c r="D380" s="3">
        <v>30000</v>
      </c>
      <c r="E380">
        <v>3</v>
      </c>
      <c r="F380" t="s">
        <v>19</v>
      </c>
      <c r="G380" t="s">
        <v>20</v>
      </c>
      <c r="H380" t="s">
        <v>18</v>
      </c>
      <c r="I380">
        <v>2</v>
      </c>
      <c r="J380" t="s">
        <v>23</v>
      </c>
      <c r="K380" t="s">
        <v>24</v>
      </c>
      <c r="L380">
        <v>56</v>
      </c>
      <c r="M380" t="str">
        <f t="shared" si="5"/>
        <v>Middle Age</v>
      </c>
      <c r="N380" t="s">
        <v>18</v>
      </c>
    </row>
    <row r="381" spans="1:14" x14ac:dyDescent="0.35">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36</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37</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36</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36</v>
      </c>
      <c r="C387" t="s">
        <v>39</v>
      </c>
      <c r="D387" s="3">
        <v>30000</v>
      </c>
      <c r="E387">
        <v>3</v>
      </c>
      <c r="F387" t="s">
        <v>19</v>
      </c>
      <c r="G387" t="s">
        <v>20</v>
      </c>
      <c r="H387" t="s">
        <v>15</v>
      </c>
      <c r="I387">
        <v>0</v>
      </c>
      <c r="J387" t="s">
        <v>16</v>
      </c>
      <c r="K387" t="s">
        <v>17</v>
      </c>
      <c r="L387">
        <v>43</v>
      </c>
      <c r="M387" t="str">
        <f t="shared" ref="M387:M450" si="6">IF(L387&gt;=57,"Old",IF(L387&gt;=31,"Middle Age",IF(L387&lt;31,"Adolescent","Invalid")))</f>
        <v>Middle Age</v>
      </c>
      <c r="N387" t="s">
        <v>18</v>
      </c>
    </row>
    <row r="388" spans="1:14" x14ac:dyDescent="0.35">
      <c r="A388">
        <v>28957</v>
      </c>
      <c r="B388" t="s">
        <v>36</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36</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36</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36</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36</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36</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36</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36</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36</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37</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36</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36</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36</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36</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36</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36</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36</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36</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36</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36</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36</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36</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36</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36</v>
      </c>
      <c r="C432" t="s">
        <v>38</v>
      </c>
      <c r="D432" s="3">
        <v>30000</v>
      </c>
      <c r="E432">
        <v>3</v>
      </c>
      <c r="F432" t="s">
        <v>27</v>
      </c>
      <c r="G432" t="s">
        <v>14</v>
      </c>
      <c r="H432" t="s">
        <v>15</v>
      </c>
      <c r="I432">
        <v>2</v>
      </c>
      <c r="J432" t="s">
        <v>23</v>
      </c>
      <c r="K432" t="s">
        <v>24</v>
      </c>
      <c r="L432">
        <v>55</v>
      </c>
      <c r="M432" t="str">
        <f t="shared" si="6"/>
        <v>Middle Age</v>
      </c>
      <c r="N432" t="s">
        <v>18</v>
      </c>
    </row>
    <row r="433" spans="1:14" x14ac:dyDescent="0.35">
      <c r="A433">
        <v>28488</v>
      </c>
      <c r="B433" t="s">
        <v>36</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36</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36</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36</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36</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36</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36</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36</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37</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38</v>
      </c>
      <c r="D451" s="3">
        <v>40000</v>
      </c>
      <c r="E451">
        <v>1</v>
      </c>
      <c r="F451" t="s">
        <v>13</v>
      </c>
      <c r="G451" t="s">
        <v>14</v>
      </c>
      <c r="H451" t="s">
        <v>15</v>
      </c>
      <c r="I451">
        <v>0</v>
      </c>
      <c r="J451" t="s">
        <v>16</v>
      </c>
      <c r="K451" t="s">
        <v>17</v>
      </c>
      <c r="L451">
        <v>42</v>
      </c>
      <c r="M451" t="str">
        <f t="shared" ref="M451:M514" si="7">IF(L451&gt;=57,"Old",IF(L451&gt;=31,"Middle Age",IF(L451&lt;31,"Adolescent","Invalid")))</f>
        <v>Middle Age</v>
      </c>
      <c r="N451" t="s">
        <v>18</v>
      </c>
    </row>
    <row r="452" spans="1:14" x14ac:dyDescent="0.35">
      <c r="A452">
        <v>16559</v>
      </c>
      <c r="B452" t="s">
        <v>36</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36</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36</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36</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36</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36</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36</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36</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36</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36</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36</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36</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36</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36</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36</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36</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36</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36</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36</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36</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36</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39</v>
      </c>
      <c r="D497" s="3">
        <v>60000</v>
      </c>
      <c r="E497">
        <v>2</v>
      </c>
      <c r="F497" t="s">
        <v>19</v>
      </c>
      <c r="G497" t="s">
        <v>21</v>
      </c>
      <c r="H497" t="s">
        <v>15</v>
      </c>
      <c r="I497">
        <v>2</v>
      </c>
      <c r="J497" t="s">
        <v>46</v>
      </c>
      <c r="K497" t="s">
        <v>32</v>
      </c>
      <c r="L497">
        <v>56</v>
      </c>
      <c r="M497" t="str">
        <f t="shared" si="7"/>
        <v>Middle Age</v>
      </c>
      <c r="N497" t="s">
        <v>18</v>
      </c>
    </row>
    <row r="498" spans="1:14" x14ac:dyDescent="0.35">
      <c r="A498">
        <v>20678</v>
      </c>
      <c r="B498" t="s">
        <v>36</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36</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36</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36</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36</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36</v>
      </c>
      <c r="C515" t="s">
        <v>38</v>
      </c>
      <c r="D515" s="3">
        <v>60000</v>
      </c>
      <c r="E515">
        <v>4</v>
      </c>
      <c r="F515" t="s">
        <v>31</v>
      </c>
      <c r="G515" t="s">
        <v>28</v>
      </c>
      <c r="H515" t="s">
        <v>15</v>
      </c>
      <c r="I515">
        <v>2</v>
      </c>
      <c r="J515" t="s">
        <v>46</v>
      </c>
      <c r="K515" t="s">
        <v>32</v>
      </c>
      <c r="L515">
        <v>61</v>
      </c>
      <c r="M515" t="str">
        <f t="shared" ref="M515:M578" si="8">IF(L515&gt;=57,"Old",IF(L515&gt;=31,"Middle Age",IF(L515&lt;31,"Adolescent","Invalid")))</f>
        <v>Old</v>
      </c>
      <c r="N515" t="s">
        <v>15</v>
      </c>
    </row>
    <row r="516" spans="1:14" x14ac:dyDescent="0.35">
      <c r="A516">
        <v>19399</v>
      </c>
      <c r="B516" t="s">
        <v>36</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36</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36</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36</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36</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36</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36</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37</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36</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37</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36</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36</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37</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37</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36</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36</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36</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36</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36</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39</v>
      </c>
      <c r="D549" s="3">
        <v>60000</v>
      </c>
      <c r="E549">
        <v>2</v>
      </c>
      <c r="F549" t="s">
        <v>27</v>
      </c>
      <c r="G549" t="s">
        <v>21</v>
      </c>
      <c r="H549" t="s">
        <v>15</v>
      </c>
      <c r="I549">
        <v>2</v>
      </c>
      <c r="J549" t="s">
        <v>22</v>
      </c>
      <c r="K549" t="s">
        <v>32</v>
      </c>
      <c r="L549">
        <v>55</v>
      </c>
      <c r="M549" t="str">
        <f t="shared" si="8"/>
        <v>Middle Age</v>
      </c>
      <c r="N549" t="s">
        <v>15</v>
      </c>
    </row>
    <row r="550" spans="1:14" x14ac:dyDescent="0.35">
      <c r="A550">
        <v>18674</v>
      </c>
      <c r="B550" t="s">
        <v>36</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36</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36</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36</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36</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37</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36</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36</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36</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39</v>
      </c>
      <c r="D573" s="3">
        <v>40000</v>
      </c>
      <c r="E573">
        <v>2</v>
      </c>
      <c r="F573" t="s">
        <v>29</v>
      </c>
      <c r="G573" t="s">
        <v>14</v>
      </c>
      <c r="H573" t="s">
        <v>15</v>
      </c>
      <c r="I573">
        <v>2</v>
      </c>
      <c r="J573" t="s">
        <v>22</v>
      </c>
      <c r="K573" t="s">
        <v>32</v>
      </c>
      <c r="L573">
        <v>55</v>
      </c>
      <c r="M573" t="str">
        <f t="shared" si="8"/>
        <v>Middle Age</v>
      </c>
      <c r="N573" t="s">
        <v>18</v>
      </c>
    </row>
    <row r="574" spans="1:14" x14ac:dyDescent="0.35">
      <c r="A574">
        <v>23549</v>
      </c>
      <c r="B574" t="s">
        <v>36</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36</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36</v>
      </c>
      <c r="C577" t="s">
        <v>39</v>
      </c>
      <c r="D577" s="3">
        <v>60000</v>
      </c>
      <c r="E577">
        <v>2</v>
      </c>
      <c r="F577" t="s">
        <v>19</v>
      </c>
      <c r="G577" t="s">
        <v>21</v>
      </c>
      <c r="H577" t="s">
        <v>15</v>
      </c>
      <c r="I577">
        <v>1</v>
      </c>
      <c r="J577" t="s">
        <v>46</v>
      </c>
      <c r="K577" t="s">
        <v>32</v>
      </c>
      <c r="L577">
        <v>56</v>
      </c>
      <c r="M577" t="str">
        <f t="shared" si="8"/>
        <v>Middle Age</v>
      </c>
      <c r="N577" t="s">
        <v>18</v>
      </c>
    </row>
    <row r="578" spans="1:14" x14ac:dyDescent="0.35">
      <c r="A578">
        <v>18752</v>
      </c>
      <c r="B578" t="s">
        <v>36</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39</v>
      </c>
      <c r="D579" s="3">
        <v>120000</v>
      </c>
      <c r="E579">
        <v>1</v>
      </c>
      <c r="F579" t="s">
        <v>13</v>
      </c>
      <c r="G579" t="s">
        <v>28</v>
      </c>
      <c r="H579" t="s">
        <v>15</v>
      </c>
      <c r="I579">
        <v>4</v>
      </c>
      <c r="J579" t="s">
        <v>16</v>
      </c>
      <c r="K579" t="s">
        <v>32</v>
      </c>
      <c r="L579">
        <v>38</v>
      </c>
      <c r="M579" t="str">
        <f t="shared" ref="M579:M642" si="9">IF(L579&gt;=57,"Old",IF(L579&gt;=31,"Middle Age",IF(L579&lt;31,"Adolescent","Invalid")))</f>
        <v>Middle Age</v>
      </c>
      <c r="N579" t="s">
        <v>18</v>
      </c>
    </row>
    <row r="580" spans="1:14" x14ac:dyDescent="0.35">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36</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37</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36</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36</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36</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37</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36</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36</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36</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36</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36</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36</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36</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36</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36</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36</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36</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36</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36</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36</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36</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38</v>
      </c>
      <c r="D625" s="3">
        <v>70000</v>
      </c>
      <c r="E625">
        <v>4</v>
      </c>
      <c r="F625" t="s">
        <v>19</v>
      </c>
      <c r="G625" t="s">
        <v>21</v>
      </c>
      <c r="H625" t="s">
        <v>15</v>
      </c>
      <c r="I625">
        <v>1</v>
      </c>
      <c r="J625" t="s">
        <v>26</v>
      </c>
      <c r="K625" t="s">
        <v>32</v>
      </c>
      <c r="L625">
        <v>55</v>
      </c>
      <c r="M625" t="str">
        <f t="shared" si="9"/>
        <v>Middle Age</v>
      </c>
      <c r="N625" t="s">
        <v>18</v>
      </c>
    </row>
    <row r="626" spans="1:14" x14ac:dyDescent="0.35">
      <c r="A626">
        <v>25943</v>
      </c>
      <c r="B626" t="s">
        <v>36</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36</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36</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36</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36</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36</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36</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36</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38</v>
      </c>
      <c r="D642" s="3">
        <v>60000</v>
      </c>
      <c r="E642">
        <v>2</v>
      </c>
      <c r="F642" t="s">
        <v>19</v>
      </c>
      <c r="G642" t="s">
        <v>21</v>
      </c>
      <c r="H642" t="s">
        <v>15</v>
      </c>
      <c r="I642">
        <v>2</v>
      </c>
      <c r="J642" t="s">
        <v>22</v>
      </c>
      <c r="K642" t="s">
        <v>32</v>
      </c>
      <c r="L642">
        <v>56</v>
      </c>
      <c r="M642" t="str">
        <f t="shared" si="9"/>
        <v>Middle Age</v>
      </c>
      <c r="N642" t="s">
        <v>15</v>
      </c>
    </row>
    <row r="643" spans="1:14" x14ac:dyDescent="0.35">
      <c r="A643">
        <v>21441</v>
      </c>
      <c r="B643" t="s">
        <v>37</v>
      </c>
      <c r="C643" t="s">
        <v>39</v>
      </c>
      <c r="D643" s="3">
        <v>50000</v>
      </c>
      <c r="E643">
        <v>4</v>
      </c>
      <c r="F643" t="s">
        <v>13</v>
      </c>
      <c r="G643" t="s">
        <v>28</v>
      </c>
      <c r="H643" t="s">
        <v>15</v>
      </c>
      <c r="I643">
        <v>2</v>
      </c>
      <c r="J643" t="s">
        <v>46</v>
      </c>
      <c r="K643" t="s">
        <v>32</v>
      </c>
      <c r="L643">
        <v>64</v>
      </c>
      <c r="M643" t="str">
        <f t="shared" ref="M643:M706" si="10">IF(L643&gt;=57,"Old",IF(L643&gt;=31,"Middle Age",IF(L643&lt;31,"Adolescent","Invalid")))</f>
        <v>Old</v>
      </c>
      <c r="N643" t="s">
        <v>18</v>
      </c>
    </row>
    <row r="644" spans="1:14" x14ac:dyDescent="0.35">
      <c r="A644">
        <v>21741</v>
      </c>
      <c r="B644" t="s">
        <v>37</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36</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36</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36</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36</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36</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36</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36</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36</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36</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36</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36</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37</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36</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36</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37</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36</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36</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36</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37</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36</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36</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36</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36</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36</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36</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36</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36</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36</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36</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36</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36</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36</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38</v>
      </c>
      <c r="D707" s="3">
        <v>70000</v>
      </c>
      <c r="E707">
        <v>4</v>
      </c>
      <c r="F707" t="s">
        <v>13</v>
      </c>
      <c r="G707" t="s">
        <v>28</v>
      </c>
      <c r="H707" t="s">
        <v>15</v>
      </c>
      <c r="I707">
        <v>1</v>
      </c>
      <c r="J707" t="s">
        <v>46</v>
      </c>
      <c r="K707" t="s">
        <v>32</v>
      </c>
      <c r="L707">
        <v>59</v>
      </c>
      <c r="M707" t="str">
        <f t="shared" ref="M707:M770" si="11">IF(L707&gt;=57,"Old",IF(L707&gt;=31,"Middle Age",IF(L707&lt;31,"Adolescent","Invalid")))</f>
        <v>Old</v>
      </c>
      <c r="N707" t="s">
        <v>18</v>
      </c>
    </row>
    <row r="708" spans="1:14" x14ac:dyDescent="0.35">
      <c r="A708">
        <v>20296</v>
      </c>
      <c r="B708" t="s">
        <v>36</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36</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37</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36</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36</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36</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36</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36</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36</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36</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36</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36</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36</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36</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36</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36</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38</v>
      </c>
      <c r="D741" s="3">
        <v>60000</v>
      </c>
      <c r="E741">
        <v>2</v>
      </c>
      <c r="F741" t="s">
        <v>19</v>
      </c>
      <c r="G741" t="s">
        <v>21</v>
      </c>
      <c r="H741" t="s">
        <v>15</v>
      </c>
      <c r="I741">
        <v>1</v>
      </c>
      <c r="J741" t="s">
        <v>46</v>
      </c>
      <c r="K741" t="s">
        <v>32</v>
      </c>
      <c r="L741">
        <v>55</v>
      </c>
      <c r="M741" t="str">
        <f t="shared" si="11"/>
        <v>Middle Age</v>
      </c>
      <c r="N741" t="s">
        <v>18</v>
      </c>
    </row>
    <row r="742" spans="1:14" x14ac:dyDescent="0.35">
      <c r="A742">
        <v>17657</v>
      </c>
      <c r="B742" t="s">
        <v>37</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36</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38</v>
      </c>
      <c r="D746" s="3">
        <v>70000</v>
      </c>
      <c r="E746">
        <v>4</v>
      </c>
      <c r="F746" t="s">
        <v>19</v>
      </c>
      <c r="G746" t="s">
        <v>21</v>
      </c>
      <c r="H746" t="s">
        <v>15</v>
      </c>
      <c r="I746">
        <v>1</v>
      </c>
      <c r="J746" t="s">
        <v>46</v>
      </c>
      <c r="K746" t="s">
        <v>32</v>
      </c>
      <c r="L746">
        <v>56</v>
      </c>
      <c r="M746" t="str">
        <f t="shared" si="11"/>
        <v>Middle Age</v>
      </c>
      <c r="N746" t="s">
        <v>18</v>
      </c>
    </row>
    <row r="747" spans="1:14" x14ac:dyDescent="0.35">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38</v>
      </c>
      <c r="D748" s="3">
        <v>60000</v>
      </c>
      <c r="E748">
        <v>2</v>
      </c>
      <c r="F748" t="s">
        <v>13</v>
      </c>
      <c r="G748" t="s">
        <v>28</v>
      </c>
      <c r="H748" t="s">
        <v>15</v>
      </c>
      <c r="I748">
        <v>0</v>
      </c>
      <c r="J748" t="s">
        <v>46</v>
      </c>
      <c r="K748" t="s">
        <v>32</v>
      </c>
      <c r="L748">
        <v>56</v>
      </c>
      <c r="M748" t="str">
        <f t="shared" si="11"/>
        <v>Middle Age</v>
      </c>
      <c r="N748" t="s">
        <v>18</v>
      </c>
    </row>
    <row r="749" spans="1:14" x14ac:dyDescent="0.35">
      <c r="A749">
        <v>12957</v>
      </c>
      <c r="B749" t="s">
        <v>36</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36</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36</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36</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36</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36</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36</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36</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37</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38</v>
      </c>
      <c r="D771" s="3">
        <v>100000</v>
      </c>
      <c r="E771">
        <v>4</v>
      </c>
      <c r="F771" t="s">
        <v>13</v>
      </c>
      <c r="G771" t="s">
        <v>28</v>
      </c>
      <c r="H771" t="s">
        <v>15</v>
      </c>
      <c r="I771">
        <v>4</v>
      </c>
      <c r="J771" t="s">
        <v>16</v>
      </c>
      <c r="K771" t="s">
        <v>32</v>
      </c>
      <c r="L771">
        <v>40</v>
      </c>
      <c r="M771" t="str">
        <f t="shared" ref="M771:M834" si="12">IF(L771&gt;=57,"Old",IF(L771&gt;=31,"Middle Age",IF(L771&lt;31,"Adolescent","Invalid")))</f>
        <v>Middle Age</v>
      </c>
      <c r="N771" t="s">
        <v>18</v>
      </c>
    </row>
    <row r="772" spans="1:14" x14ac:dyDescent="0.35">
      <c r="A772">
        <v>17699</v>
      </c>
      <c r="B772" t="s">
        <v>37</v>
      </c>
      <c r="C772" t="s">
        <v>39</v>
      </c>
      <c r="D772" s="3">
        <v>60000</v>
      </c>
      <c r="E772">
        <v>1</v>
      </c>
      <c r="F772" t="s">
        <v>31</v>
      </c>
      <c r="G772" t="s">
        <v>14</v>
      </c>
      <c r="H772" t="s">
        <v>18</v>
      </c>
      <c r="I772">
        <v>0</v>
      </c>
      <c r="J772" t="s">
        <v>16</v>
      </c>
      <c r="K772" t="s">
        <v>32</v>
      </c>
      <c r="L772">
        <v>55</v>
      </c>
      <c r="M772" t="str">
        <f t="shared" si="12"/>
        <v>Middle Age</v>
      </c>
      <c r="N772" t="s">
        <v>18</v>
      </c>
    </row>
    <row r="773" spans="1:14" x14ac:dyDescent="0.35">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36</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36</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36</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38</v>
      </c>
      <c r="D782" s="3">
        <v>60000</v>
      </c>
      <c r="E782">
        <v>2</v>
      </c>
      <c r="F782" t="s">
        <v>19</v>
      </c>
      <c r="G782" t="s">
        <v>21</v>
      </c>
      <c r="H782" t="s">
        <v>15</v>
      </c>
      <c r="I782">
        <v>1</v>
      </c>
      <c r="J782" t="s">
        <v>46</v>
      </c>
      <c r="K782" t="s">
        <v>32</v>
      </c>
      <c r="L782">
        <v>55</v>
      </c>
      <c r="M782" t="str">
        <f t="shared" si="12"/>
        <v>Middle Age</v>
      </c>
      <c r="N782" t="s">
        <v>18</v>
      </c>
    </row>
    <row r="783" spans="1:14" x14ac:dyDescent="0.35">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36</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36</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36</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36</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36</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36</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36</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36</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36</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36</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36</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36</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36</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36</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36</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36</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36</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37</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36</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36</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36</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36</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36</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36</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36</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36</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36</v>
      </c>
      <c r="C835" t="s">
        <v>38</v>
      </c>
      <c r="D835" s="3">
        <v>70000</v>
      </c>
      <c r="E835">
        <v>0</v>
      </c>
      <c r="F835" t="s">
        <v>13</v>
      </c>
      <c r="G835" t="s">
        <v>21</v>
      </c>
      <c r="H835" t="s">
        <v>18</v>
      </c>
      <c r="I835">
        <v>1</v>
      </c>
      <c r="J835" t="s">
        <v>16</v>
      </c>
      <c r="K835" t="s">
        <v>32</v>
      </c>
      <c r="L835">
        <v>37</v>
      </c>
      <c r="M835" t="str">
        <f t="shared" ref="M835:M898" si="13">IF(L835&gt;=57,"Old",IF(L835&gt;=31,"Middle Age",IF(L835&lt;31,"Adolescent","Invalid")))</f>
        <v>Middle Age</v>
      </c>
      <c r="N835" t="s">
        <v>15</v>
      </c>
    </row>
    <row r="836" spans="1:14" x14ac:dyDescent="0.35">
      <c r="A836">
        <v>19889</v>
      </c>
      <c r="B836" t="s">
        <v>36</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36</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36</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36</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36</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36</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38</v>
      </c>
      <c r="D848" s="3">
        <v>70000</v>
      </c>
      <c r="E848">
        <v>4</v>
      </c>
      <c r="F848" t="s">
        <v>19</v>
      </c>
      <c r="G848" t="s">
        <v>21</v>
      </c>
      <c r="H848" t="s">
        <v>18</v>
      </c>
      <c r="I848">
        <v>1</v>
      </c>
      <c r="J848" t="s">
        <v>26</v>
      </c>
      <c r="K848" t="s">
        <v>32</v>
      </c>
      <c r="L848">
        <v>56</v>
      </c>
      <c r="M848" t="str">
        <f t="shared" si="13"/>
        <v>Middle Age</v>
      </c>
      <c r="N848" t="s">
        <v>18</v>
      </c>
    </row>
    <row r="849" spans="1:14" x14ac:dyDescent="0.35">
      <c r="A849">
        <v>17482</v>
      </c>
      <c r="B849" t="s">
        <v>36</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36</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36</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36</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36</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36</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36</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36</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36</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36</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36</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39</v>
      </c>
      <c r="D868" s="3">
        <v>60000</v>
      </c>
      <c r="E868">
        <v>2</v>
      </c>
      <c r="F868" t="s">
        <v>27</v>
      </c>
      <c r="G868" t="s">
        <v>21</v>
      </c>
      <c r="H868" t="s">
        <v>15</v>
      </c>
      <c r="I868">
        <v>2</v>
      </c>
      <c r="J868" t="s">
        <v>46</v>
      </c>
      <c r="K868" t="s">
        <v>32</v>
      </c>
      <c r="L868">
        <v>55</v>
      </c>
      <c r="M868" t="str">
        <f t="shared" si="13"/>
        <v>Middle Age</v>
      </c>
      <c r="N868" t="s">
        <v>18</v>
      </c>
    </row>
    <row r="869" spans="1:14" x14ac:dyDescent="0.35">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36</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36</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39</v>
      </c>
      <c r="D873" s="3">
        <v>60000</v>
      </c>
      <c r="E873">
        <v>2</v>
      </c>
      <c r="F873" t="s">
        <v>27</v>
      </c>
      <c r="G873" t="s">
        <v>21</v>
      </c>
      <c r="H873" t="s">
        <v>15</v>
      </c>
      <c r="I873">
        <v>2</v>
      </c>
      <c r="J873" t="s">
        <v>46</v>
      </c>
      <c r="K873" t="s">
        <v>32</v>
      </c>
      <c r="L873">
        <v>55</v>
      </c>
      <c r="M873" t="str">
        <f t="shared" si="13"/>
        <v>Middle Age</v>
      </c>
      <c r="N873" t="s">
        <v>18</v>
      </c>
    </row>
    <row r="874" spans="1:14" x14ac:dyDescent="0.35">
      <c r="A874">
        <v>22118</v>
      </c>
      <c r="B874" t="s">
        <v>36</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36</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36</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36</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36</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36</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39</v>
      </c>
      <c r="D899" s="3">
        <v>30000</v>
      </c>
      <c r="E899">
        <v>0</v>
      </c>
      <c r="F899" t="s">
        <v>29</v>
      </c>
      <c r="G899" t="s">
        <v>20</v>
      </c>
      <c r="H899" t="s">
        <v>18</v>
      </c>
      <c r="I899">
        <v>2</v>
      </c>
      <c r="J899" t="s">
        <v>16</v>
      </c>
      <c r="K899" t="s">
        <v>32</v>
      </c>
      <c r="L899">
        <v>28</v>
      </c>
      <c r="M899" t="str">
        <f t="shared" ref="M899:M962" si="14">IF(L899&gt;=57,"Old",IF(L899&gt;=31,"Middle Age",IF(L899&lt;31,"Adolescent","Invalid")))</f>
        <v>Adolescent</v>
      </c>
      <c r="N899" t="s">
        <v>18</v>
      </c>
    </row>
    <row r="900" spans="1:14" x14ac:dyDescent="0.35">
      <c r="A900">
        <v>18066</v>
      </c>
      <c r="B900" t="s">
        <v>36</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37</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36</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36</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36</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36</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36</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36</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36</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36</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36</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36</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36</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36</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36</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36</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36</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37</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37</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36</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36</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36</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36</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36</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36</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36</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36</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36</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36</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38</v>
      </c>
      <c r="D963" s="3">
        <v>120000</v>
      </c>
      <c r="E963">
        <v>2</v>
      </c>
      <c r="F963" t="s">
        <v>13</v>
      </c>
      <c r="G963" t="s">
        <v>28</v>
      </c>
      <c r="H963" t="s">
        <v>15</v>
      </c>
      <c r="I963">
        <v>3</v>
      </c>
      <c r="J963" t="s">
        <v>23</v>
      </c>
      <c r="K963" t="s">
        <v>32</v>
      </c>
      <c r="L963">
        <v>62</v>
      </c>
      <c r="M963" t="str">
        <f t="shared" ref="M963:M1001" si="15">IF(L963&gt;=57,"Old",IF(L963&gt;=31,"Middle Age",IF(L963&lt;31,"Adolescent","Invalid")))</f>
        <v>Old</v>
      </c>
      <c r="N963" t="s">
        <v>18</v>
      </c>
    </row>
    <row r="964" spans="1:14" x14ac:dyDescent="0.35">
      <c r="A964">
        <v>16813</v>
      </c>
      <c r="B964" t="s">
        <v>37</v>
      </c>
      <c r="C964" t="s">
        <v>39</v>
      </c>
      <c r="D964" s="3">
        <v>60000</v>
      </c>
      <c r="E964">
        <v>2</v>
      </c>
      <c r="F964" t="s">
        <v>19</v>
      </c>
      <c r="G964" t="s">
        <v>21</v>
      </c>
      <c r="H964" t="s">
        <v>15</v>
      </c>
      <c r="I964">
        <v>2</v>
      </c>
      <c r="J964" t="s">
        <v>46</v>
      </c>
      <c r="K964" t="s">
        <v>32</v>
      </c>
      <c r="L964">
        <v>55</v>
      </c>
      <c r="M964" t="str">
        <f t="shared" si="15"/>
        <v>Middle Age</v>
      </c>
      <c r="N964" t="s">
        <v>18</v>
      </c>
    </row>
    <row r="965" spans="1:14" x14ac:dyDescent="0.35">
      <c r="A965">
        <v>16007</v>
      </c>
      <c r="B965" t="s">
        <v>37</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36</v>
      </c>
      <c r="C966" t="s">
        <v>39</v>
      </c>
      <c r="D966" s="3">
        <v>70000</v>
      </c>
      <c r="E966">
        <v>4</v>
      </c>
      <c r="F966" t="s">
        <v>19</v>
      </c>
      <c r="G966" t="s">
        <v>21</v>
      </c>
      <c r="H966" t="s">
        <v>15</v>
      </c>
      <c r="I966">
        <v>1</v>
      </c>
      <c r="J966" t="s">
        <v>46</v>
      </c>
      <c r="K966" t="s">
        <v>32</v>
      </c>
      <c r="L966">
        <v>56</v>
      </c>
      <c r="M966" t="str">
        <f t="shared" si="15"/>
        <v>Middle Age</v>
      </c>
      <c r="N966" t="s">
        <v>18</v>
      </c>
    </row>
    <row r="967" spans="1:14" x14ac:dyDescent="0.35">
      <c r="A967">
        <v>27756</v>
      </c>
      <c r="B967" t="s">
        <v>36</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39</v>
      </c>
      <c r="D969" s="3">
        <v>80000</v>
      </c>
      <c r="E969">
        <v>3</v>
      </c>
      <c r="F969" t="s">
        <v>13</v>
      </c>
      <c r="G969" t="s">
        <v>28</v>
      </c>
      <c r="H969" t="s">
        <v>15</v>
      </c>
      <c r="I969">
        <v>1</v>
      </c>
      <c r="J969" t="s">
        <v>26</v>
      </c>
      <c r="K969" t="s">
        <v>32</v>
      </c>
      <c r="L969">
        <v>56</v>
      </c>
      <c r="M969" t="str">
        <f t="shared" si="15"/>
        <v>Middle Age</v>
      </c>
      <c r="N969" t="s">
        <v>18</v>
      </c>
    </row>
    <row r="970" spans="1:14" x14ac:dyDescent="0.35">
      <c r="A970">
        <v>18329</v>
      </c>
      <c r="B970" t="s">
        <v>36</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36</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36</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36</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36</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36</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36</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36</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36</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37</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37</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36</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36</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36</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39</v>
      </c>
      <c r="D997" s="3">
        <v>60000</v>
      </c>
      <c r="E997">
        <v>2</v>
      </c>
      <c r="F997" t="s">
        <v>27</v>
      </c>
      <c r="G997" t="s">
        <v>21</v>
      </c>
      <c r="H997" t="s">
        <v>15</v>
      </c>
      <c r="I997">
        <v>2</v>
      </c>
      <c r="J997" t="s">
        <v>22</v>
      </c>
      <c r="K997" t="s">
        <v>32</v>
      </c>
      <c r="L997">
        <v>54</v>
      </c>
      <c r="M997" t="str">
        <f t="shared" si="15"/>
        <v>Middle Age</v>
      </c>
      <c r="N997" t="s">
        <v>15</v>
      </c>
    </row>
    <row r="998" spans="1:14" x14ac:dyDescent="0.35">
      <c r="A998">
        <v>28672</v>
      </c>
      <c r="B998" t="s">
        <v>36</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36</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36</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A8E5-0439-4147-BEB6-3833349B3ACF}">
  <dimension ref="A1:D42"/>
  <sheetViews>
    <sheetView topLeftCell="A25" workbookViewId="0">
      <selection activeCell="C47" sqref="C47"/>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44</v>
      </c>
      <c r="B1" s="4" t="s">
        <v>45</v>
      </c>
    </row>
    <row r="2" spans="1:4" x14ac:dyDescent="0.35">
      <c r="A2" s="4" t="s">
        <v>41</v>
      </c>
      <c r="B2" t="s">
        <v>18</v>
      </c>
      <c r="C2" t="s">
        <v>15</v>
      </c>
      <c r="D2" t="s">
        <v>42</v>
      </c>
    </row>
    <row r="3" spans="1:4" x14ac:dyDescent="0.35">
      <c r="A3" s="5" t="s">
        <v>38</v>
      </c>
      <c r="B3" s="3">
        <v>80833.333333333328</v>
      </c>
      <c r="C3" s="3">
        <v>60000</v>
      </c>
      <c r="D3" s="3">
        <v>70869.565217391311</v>
      </c>
    </row>
    <row r="4" spans="1:4" x14ac:dyDescent="0.35">
      <c r="A4" s="5" t="s">
        <v>39</v>
      </c>
      <c r="B4" s="3">
        <v>72500</v>
      </c>
      <c r="C4" s="3">
        <v>66500</v>
      </c>
      <c r="D4" s="3">
        <v>68214.28571428571</v>
      </c>
    </row>
    <row r="5" spans="1:4" x14ac:dyDescent="0.35">
      <c r="A5" s="5" t="s">
        <v>42</v>
      </c>
      <c r="B5" s="3">
        <v>77500</v>
      </c>
      <c r="C5" s="3">
        <v>64193.548387096773</v>
      </c>
      <c r="D5" s="3">
        <v>69411.76470588235</v>
      </c>
    </row>
    <row r="20" spans="1:4" x14ac:dyDescent="0.35">
      <c r="A20" s="4" t="s">
        <v>43</v>
      </c>
      <c r="B20" s="4" t="s">
        <v>45</v>
      </c>
    </row>
    <row r="21" spans="1:4" x14ac:dyDescent="0.35">
      <c r="A21" s="4" t="s">
        <v>41</v>
      </c>
      <c r="B21" t="s">
        <v>18</v>
      </c>
      <c r="C21" t="s">
        <v>15</v>
      </c>
      <c r="D21" t="s">
        <v>42</v>
      </c>
    </row>
    <row r="22" spans="1:4" x14ac:dyDescent="0.35">
      <c r="A22" s="5" t="s">
        <v>16</v>
      </c>
      <c r="B22" s="6">
        <v>1</v>
      </c>
      <c r="C22" s="6">
        <v>10</v>
      </c>
      <c r="D22" s="6">
        <v>11</v>
      </c>
    </row>
    <row r="23" spans="1:4" x14ac:dyDescent="0.35">
      <c r="A23" s="5" t="s">
        <v>26</v>
      </c>
      <c r="B23" s="6">
        <v>1</v>
      </c>
      <c r="C23" s="6"/>
      <c r="D23" s="6">
        <v>1</v>
      </c>
    </row>
    <row r="24" spans="1:4" x14ac:dyDescent="0.35">
      <c r="A24" s="5" t="s">
        <v>22</v>
      </c>
      <c r="B24" s="6">
        <v>3</v>
      </c>
      <c r="C24" s="6">
        <v>3</v>
      </c>
      <c r="D24" s="6">
        <v>6</v>
      </c>
    </row>
    <row r="25" spans="1:4" x14ac:dyDescent="0.35">
      <c r="A25" s="5" t="s">
        <v>23</v>
      </c>
      <c r="B25" s="6">
        <v>5</v>
      </c>
      <c r="C25" s="6">
        <v>13</v>
      </c>
      <c r="D25" s="6">
        <v>18</v>
      </c>
    </row>
    <row r="26" spans="1:4" x14ac:dyDescent="0.35">
      <c r="A26" s="5" t="s">
        <v>46</v>
      </c>
      <c r="B26" s="6">
        <v>10</v>
      </c>
      <c r="C26" s="6">
        <v>5</v>
      </c>
      <c r="D26" s="6">
        <v>15</v>
      </c>
    </row>
    <row r="27" spans="1:4" x14ac:dyDescent="0.35">
      <c r="A27" s="5" t="s">
        <v>42</v>
      </c>
      <c r="B27" s="6">
        <v>20</v>
      </c>
      <c r="C27" s="6">
        <v>31</v>
      </c>
      <c r="D27" s="6">
        <v>51</v>
      </c>
    </row>
    <row r="37" spans="1:4" x14ac:dyDescent="0.35">
      <c r="A37" s="4" t="s">
        <v>43</v>
      </c>
      <c r="B37" s="4" t="s">
        <v>45</v>
      </c>
    </row>
    <row r="38" spans="1:4" x14ac:dyDescent="0.35">
      <c r="A38" s="4" t="s">
        <v>41</v>
      </c>
      <c r="B38" t="s">
        <v>18</v>
      </c>
      <c r="C38" t="s">
        <v>15</v>
      </c>
      <c r="D38" t="s">
        <v>42</v>
      </c>
    </row>
    <row r="39" spans="1:4" x14ac:dyDescent="0.35">
      <c r="A39" s="5" t="s">
        <v>47</v>
      </c>
      <c r="B39" s="6"/>
      <c r="C39" s="6">
        <v>3</v>
      </c>
      <c r="D39" s="6">
        <v>3</v>
      </c>
    </row>
    <row r="40" spans="1:4" x14ac:dyDescent="0.35">
      <c r="A40" s="5" t="s">
        <v>48</v>
      </c>
      <c r="B40" s="6">
        <v>20</v>
      </c>
      <c r="C40" s="6">
        <v>24</v>
      </c>
      <c r="D40" s="6">
        <v>44</v>
      </c>
    </row>
    <row r="41" spans="1:4" x14ac:dyDescent="0.35">
      <c r="A41" s="5" t="s">
        <v>49</v>
      </c>
      <c r="B41" s="6"/>
      <c r="C41" s="6">
        <v>4</v>
      </c>
      <c r="D41" s="6">
        <v>4</v>
      </c>
    </row>
    <row r="42" spans="1:4" x14ac:dyDescent="0.35">
      <c r="A42" s="5" t="s">
        <v>42</v>
      </c>
      <c r="B42" s="6">
        <v>20</v>
      </c>
      <c r="C42" s="6">
        <v>31</v>
      </c>
      <c r="D42" s="6">
        <v>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C325-CC75-49C7-A2C0-4E658D52A3DF}">
  <dimension ref="A1:M4"/>
  <sheetViews>
    <sheetView showGridLines="0" tabSelected="1" zoomScale="55" zoomScaleNormal="55" workbookViewId="0">
      <selection activeCell="AD25" sqref="AD25"/>
    </sheetView>
  </sheetViews>
  <sheetFormatPr defaultRowHeight="14.5" x14ac:dyDescent="0.35"/>
  <sheetData>
    <row r="1" spans="1:13" x14ac:dyDescent="0.35">
      <c r="A1" s="7"/>
      <c r="B1" s="7"/>
      <c r="C1" s="7"/>
      <c r="D1" s="7"/>
      <c r="E1" s="7"/>
      <c r="F1" s="7"/>
      <c r="G1" s="7"/>
      <c r="H1" s="7"/>
      <c r="I1" s="7"/>
      <c r="J1" s="7"/>
    </row>
    <row r="2" spans="1:13" ht="36" x14ac:dyDescent="0.8">
      <c r="A2" s="7"/>
      <c r="B2" s="7"/>
      <c r="C2" s="9" t="s">
        <v>50</v>
      </c>
      <c r="D2" s="9"/>
      <c r="E2" s="9"/>
      <c r="F2" s="7"/>
      <c r="G2" s="7"/>
      <c r="H2" s="7"/>
      <c r="I2" s="7"/>
      <c r="J2" s="7"/>
    </row>
    <row r="3" spans="1:13" x14ac:dyDescent="0.35">
      <c r="A3" s="7"/>
      <c r="B3" s="7"/>
      <c r="C3" s="7"/>
      <c r="D3" s="7"/>
      <c r="E3" s="7"/>
      <c r="F3" s="7"/>
      <c r="G3" s="7"/>
      <c r="H3" s="7"/>
      <c r="I3" s="7"/>
      <c r="J3" s="7"/>
      <c r="M3" s="8"/>
    </row>
    <row r="4" spans="1:13" x14ac:dyDescent="0.35">
      <c r="A4" s="7"/>
      <c r="B4" s="10"/>
      <c r="C4" s="7"/>
      <c r="D4" s="7"/>
      <c r="E4" s="7"/>
      <c r="F4" s="7"/>
      <c r="G4" s="7"/>
      <c r="H4" s="7"/>
      <c r="I4" s="7"/>
      <c r="J4"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Shimanto 四万十</cp:lastModifiedBy>
  <dcterms:created xsi:type="dcterms:W3CDTF">2022-03-18T02:50:57Z</dcterms:created>
  <dcterms:modified xsi:type="dcterms:W3CDTF">2026-10-22T06:34:06Z</dcterms:modified>
</cp:coreProperties>
</file>